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<sst xmlns="http://schemas.openxmlformats.org/spreadsheetml/2006/main" count="154" uniqueCount="103">
  <si>
    <t>序号</t>
  </si>
  <si>
    <t>品种名称</t>
  </si>
  <si>
    <t>规格型号</t>
  </si>
  <si>
    <t>单位</t>
  </si>
  <si>
    <t>数量</t>
  </si>
  <si>
    <t>含税单价（元）</t>
  </si>
  <si>
    <t>不含税单价（元）</t>
  </si>
  <si>
    <t>税率</t>
  </si>
  <si>
    <t>不含税合价（元）</t>
  </si>
  <si>
    <t>税额（元）</t>
  </si>
  <si>
    <t>含税合价（元）</t>
  </si>
  <si>
    <t>备注</t>
  </si>
  <si>
    <t>验算</t>
  </si>
  <si>
    <t>001</t>
  </si>
  <si>
    <t>景观配电箱</t>
  </si>
  <si>
    <t>300*440*140</t>
  </si>
  <si>
    <t>只</t>
  </si>
  <si>
    <t>002</t>
  </si>
  <si>
    <t>电缆线</t>
  </si>
  <si>
    <t>YJV-3*4</t>
  </si>
  <si>
    <t>m</t>
  </si>
  <si>
    <t>003</t>
  </si>
  <si>
    <t>YJV-2*2.5</t>
  </si>
  <si>
    <t>004</t>
  </si>
  <si>
    <t>JHS-4*4</t>
  </si>
  <si>
    <t>005</t>
  </si>
  <si>
    <t>PVC-U管橡胶圈</t>
  </si>
  <si>
    <t>直径225</t>
  </si>
  <si>
    <t>个</t>
  </si>
  <si>
    <t>006</t>
  </si>
  <si>
    <t>铸铁雨水井箅</t>
  </si>
  <si>
    <t>800mm</t>
  </si>
  <si>
    <t>套</t>
  </si>
  <si>
    <t>007</t>
  </si>
  <si>
    <t>卧式不锈钢潜水泵</t>
  </si>
  <si>
    <t>QSP40-8-1.5</t>
  </si>
  <si>
    <t>台</t>
  </si>
  <si>
    <t>008</t>
  </si>
  <si>
    <t>PE管</t>
  </si>
  <si>
    <t>DN75</t>
  </si>
  <si>
    <t>009</t>
  </si>
  <si>
    <t>DN50</t>
  </si>
  <si>
    <t>010</t>
  </si>
  <si>
    <t>DN80</t>
  </si>
  <si>
    <t>011</t>
  </si>
  <si>
    <t>DN100</t>
  </si>
  <si>
    <t>012</t>
  </si>
  <si>
    <t>DN32</t>
  </si>
  <si>
    <t>013</t>
  </si>
  <si>
    <t>DN40</t>
  </si>
  <si>
    <t>014</t>
  </si>
  <si>
    <t>DN25</t>
  </si>
  <si>
    <t>015</t>
  </si>
  <si>
    <t>PVC-U平壁管</t>
  </si>
  <si>
    <t>dn110</t>
  </si>
  <si>
    <t>016</t>
  </si>
  <si>
    <t>dn160</t>
  </si>
  <si>
    <t>017</t>
  </si>
  <si>
    <t>HDPE双壁波纹管</t>
  </si>
  <si>
    <t>DN225</t>
  </si>
  <si>
    <t>018</t>
  </si>
  <si>
    <t>承插塑料排水管件</t>
  </si>
  <si>
    <t>019</t>
  </si>
  <si>
    <t>020</t>
  </si>
  <si>
    <t>止回阀</t>
  </si>
  <si>
    <t>021</t>
  </si>
  <si>
    <t>快速取水阀（铜制）</t>
  </si>
  <si>
    <t>022</t>
  </si>
  <si>
    <t>闸阀</t>
  </si>
  <si>
    <t>023</t>
  </si>
  <si>
    <t>阀门箱10寸（含阀门）</t>
  </si>
  <si>
    <t>024</t>
  </si>
  <si>
    <t>10寸阀门箱</t>
  </si>
  <si>
    <t>025</t>
  </si>
  <si>
    <t>026</t>
  </si>
  <si>
    <t>软接头</t>
  </si>
  <si>
    <t>027</t>
  </si>
  <si>
    <t>池底出水口</t>
  </si>
  <si>
    <t>028</t>
  </si>
  <si>
    <t>环保雨水口</t>
  </si>
  <si>
    <t>400×600</t>
  </si>
  <si>
    <t>座</t>
  </si>
  <si>
    <t>029</t>
  </si>
  <si>
    <t>PE双壁波纹管</t>
  </si>
  <si>
    <t>030</t>
  </si>
  <si>
    <t>DN300</t>
  </si>
  <si>
    <t>031</t>
  </si>
  <si>
    <t>HDPE开槽穿孔管</t>
  </si>
  <si>
    <t>De110</t>
  </si>
  <si>
    <t>032</t>
  </si>
  <si>
    <t>黑色成品树脂排水格栅</t>
  </si>
  <si>
    <t>600*210*30mm</t>
  </si>
  <si>
    <t>m2</t>
  </si>
  <si>
    <t>033</t>
  </si>
  <si>
    <t>铸铁井盖篦子</t>
  </si>
  <si>
    <t>300*30mm</t>
  </si>
  <si>
    <t>034</t>
  </si>
  <si>
    <t>线性排水沟格栅板</t>
  </si>
  <si>
    <t>304不锈钢1000*250*50*2mm</t>
  </si>
  <si>
    <t>035</t>
  </si>
  <si>
    <t>铸铁井盖井座</t>
  </si>
  <si>
    <t>Ф600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</si>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</sst>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.00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</font>
    <font>
      <sz val="9"/>
      <color theme="1"/>
      <name val="宋体"/>
      <charset val="134"/>
    </font>
    <font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tabSelected="1" zoomScale="115" zoomScaleNormal="115" workbookViewId="0">
      <selection activeCell="C2" sqref="C2"/>
    </sheetView>
  </sheetViews>
  <sheetFormatPr defaultColWidth="9" defaultRowHeight="13.5"/>
  <cols>
    <col min="1" max="1" width="6.24166666666667" style="1" customWidth="1"/>
    <col min="2" max="2" width="17.7916666666667" style="1" customWidth="1"/>
    <col min="3" max="5" width="9" style="1"/>
    <col min="6" max="6" width="14.8083333333333" style="1" customWidth="1"/>
    <col min="7" max="7" width="16.8166666666667" style="1" customWidth="1"/>
    <col min="8" max="8" width="8.25" style="1" customWidth="1"/>
    <col min="9" max="9" width="16.6333333333333" style="1" customWidth="1"/>
    <col min="10" max="10" width="9.99166666666667" style="1" customWidth="1"/>
    <col min="11" max="11" width="15.1" style="1" customWidth="1"/>
    <col min="12" max="12" width="7.01666666666667" style="1" customWidth="1"/>
    <col min="13" max="13" width="9" style="1"/>
    <col min="14" max="14" width="10.5916666666667" style="2"/>
    <col min="15" max="16384" width="9" style="1"/>
  </cols>
  <sheetData>
    <row r="1" s="1" customFormat="1" spans="1:14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4" t="s">
        <v>11</v>
      </c>
      <c r="N1" s="2" t="s">
        <v>12</v>
      </c>
    </row>
    <row r="2" s="1" customFormat="1" spans="1:14">
      <c r="A2" s="12" t="s">
        <v>13</v>
      </c>
      <c r="B2" s="5" t="s">
        <v>14</v>
      </c>
      <c r="C2" s="6" t="s">
        <v>15</v>
      </c>
      <c r="D2" s="5" t="s">
        <v>16</v>
      </c>
      <c r="E2" s="5">
        <v>1</v>
      </c>
      <c r="F2" s="7">
        <v>3549.33</v>
      </c>
      <c r="G2" s="7">
        <f>F2/(1+H2)</f>
        <v>3141</v>
      </c>
      <c r="H2" s="8">
        <v>0.13</v>
      </c>
      <c r="I2" s="7">
        <f>E2*G2</f>
        <v>3141</v>
      </c>
      <c r="J2" s="7">
        <f>E2*G2*H2</f>
        <v>408.33</v>
      </c>
      <c r="K2" s="7">
        <f>F2*E2</f>
        <v>3549.33</v>
      </c>
      <c r="L2" s="3"/>
      <c r="N2" s="2">
        <f>I2+J2-K2</f>
        <v>0</v>
      </c>
    </row>
    <row r="3" s="1" customFormat="1" spans="1:14">
      <c r="A3" s="12" t="s">
        <v>17</v>
      </c>
      <c r="B3" s="5" t="s">
        <v>18</v>
      </c>
      <c r="C3" s="5" t="s">
        <v>19</v>
      </c>
      <c r="D3" s="5" t="s">
        <v>20</v>
      </c>
      <c r="E3" s="5">
        <v>3045</v>
      </c>
      <c r="F3" s="7">
        <v>12.43</v>
      </c>
      <c r="G3" s="7">
        <f t="shared" ref="G3:G36" si="0">F3/(1+H3)</f>
        <v>11</v>
      </c>
      <c r="H3" s="8">
        <v>0.13</v>
      </c>
      <c r="I3" s="7">
        <f t="shared" ref="I3:I36" si="1">E3*G3</f>
        <v>33495</v>
      </c>
      <c r="J3" s="7">
        <f t="shared" ref="J3:J36" si="2">E3*G3*H3</f>
        <v>4354.35</v>
      </c>
      <c r="K3" s="7">
        <f t="shared" ref="K3:K36" si="3">F3*E3</f>
        <v>37849.35</v>
      </c>
      <c r="L3" s="3"/>
      <c r="N3" s="2">
        <f t="shared" ref="N3:N36" si="4">I3+J3-K3</f>
        <v>0</v>
      </c>
    </row>
    <row r="4" s="1" customFormat="1" spans="1:14">
      <c r="A4" s="12" t="s">
        <v>21</v>
      </c>
      <c r="B4" s="5" t="s">
        <v>18</v>
      </c>
      <c r="C4" s="5" t="s">
        <v>22</v>
      </c>
      <c r="D4" s="5" t="s">
        <v>20</v>
      </c>
      <c r="E4" s="5">
        <v>35</v>
      </c>
      <c r="F4" s="7">
        <v>5.65</v>
      </c>
      <c r="G4" s="7">
        <f t="shared" si="0"/>
        <v>5</v>
      </c>
      <c r="H4" s="8">
        <v>0.13</v>
      </c>
      <c r="I4" s="7">
        <f t="shared" si="1"/>
        <v>175</v>
      </c>
      <c r="J4" s="7">
        <f t="shared" si="2"/>
        <v>22.75</v>
      </c>
      <c r="K4" s="7">
        <f t="shared" si="3"/>
        <v>197.75</v>
      </c>
      <c r="L4" s="3"/>
      <c r="N4" s="2">
        <f t="shared" si="4"/>
        <v>0</v>
      </c>
    </row>
    <row r="5" s="1" customFormat="1" spans="1:14">
      <c r="A5" s="12" t="s">
        <v>23</v>
      </c>
      <c r="B5" s="5" t="s">
        <v>18</v>
      </c>
      <c r="C5" s="5" t="s">
        <v>24</v>
      </c>
      <c r="D5" s="5" t="s">
        <v>20</v>
      </c>
      <c r="E5" s="5">
        <v>45</v>
      </c>
      <c r="F5" s="7">
        <v>15.82</v>
      </c>
      <c r="G5" s="7">
        <f t="shared" si="0"/>
        <v>14</v>
      </c>
      <c r="H5" s="8">
        <v>0.13</v>
      </c>
      <c r="I5" s="7">
        <f t="shared" si="1"/>
        <v>630</v>
      </c>
      <c r="J5" s="7">
        <f t="shared" si="2"/>
        <v>81.9</v>
      </c>
      <c r="K5" s="7">
        <f t="shared" si="3"/>
        <v>711.9</v>
      </c>
      <c r="L5" s="3"/>
      <c r="N5" s="2">
        <f t="shared" si="4"/>
        <v>0</v>
      </c>
    </row>
    <row r="6" s="1" customFormat="1" spans="1:14">
      <c r="A6" s="12" t="s">
        <v>25</v>
      </c>
      <c r="B6" s="5" t="s">
        <v>26</v>
      </c>
      <c r="C6" s="5" t="s">
        <v>27</v>
      </c>
      <c r="D6" s="5" t="s">
        <v>28</v>
      </c>
      <c r="E6" s="5">
        <v>120</v>
      </c>
      <c r="F6" s="7">
        <v>12.43</v>
      </c>
      <c r="G6" s="7">
        <f t="shared" si="0"/>
        <v>11</v>
      </c>
      <c r="H6" s="8">
        <v>0.13</v>
      </c>
      <c r="I6" s="7">
        <f t="shared" si="1"/>
        <v>1320</v>
      </c>
      <c r="J6" s="7">
        <f t="shared" si="2"/>
        <v>171.6</v>
      </c>
      <c r="K6" s="7">
        <f t="shared" si="3"/>
        <v>1491.6</v>
      </c>
      <c r="L6" s="3"/>
      <c r="N6" s="2">
        <f t="shared" si="4"/>
        <v>0</v>
      </c>
    </row>
    <row r="7" s="1" customFormat="1" spans="1:14">
      <c r="A7" s="12" t="s">
        <v>29</v>
      </c>
      <c r="B7" s="5" t="s">
        <v>30</v>
      </c>
      <c r="C7" s="5" t="s">
        <v>31</v>
      </c>
      <c r="D7" s="5" t="s">
        <v>32</v>
      </c>
      <c r="E7" s="5">
        <v>114</v>
      </c>
      <c r="F7" s="7">
        <v>404.54</v>
      </c>
      <c r="G7" s="7">
        <f t="shared" si="0"/>
        <v>358</v>
      </c>
      <c r="H7" s="8">
        <v>0.13</v>
      </c>
      <c r="I7" s="7">
        <f t="shared" si="1"/>
        <v>40812</v>
      </c>
      <c r="J7" s="7">
        <f t="shared" si="2"/>
        <v>5305.56</v>
      </c>
      <c r="K7" s="7">
        <f t="shared" si="3"/>
        <v>46117.56</v>
      </c>
      <c r="L7" s="3"/>
      <c r="N7" s="2">
        <f t="shared" si="4"/>
        <v>0</v>
      </c>
    </row>
    <row r="8" s="1" customFormat="1" spans="1:14">
      <c r="A8" s="12" t="s">
        <v>33</v>
      </c>
      <c r="B8" s="5" t="s">
        <v>34</v>
      </c>
      <c r="C8" s="5" t="s">
        <v>35</v>
      </c>
      <c r="D8" s="5" t="s">
        <v>36</v>
      </c>
      <c r="E8" s="5">
        <v>1</v>
      </c>
      <c r="F8" s="7">
        <v>4119.98</v>
      </c>
      <c r="G8" s="7">
        <f t="shared" si="0"/>
        <v>3646</v>
      </c>
      <c r="H8" s="8">
        <v>0.13</v>
      </c>
      <c r="I8" s="7">
        <f t="shared" si="1"/>
        <v>3646</v>
      </c>
      <c r="J8" s="7">
        <f t="shared" si="2"/>
        <v>473.98</v>
      </c>
      <c r="K8" s="7">
        <f t="shared" si="3"/>
        <v>4119.98</v>
      </c>
      <c r="L8" s="3"/>
      <c r="N8" s="2">
        <f t="shared" si="4"/>
        <v>0</v>
      </c>
    </row>
    <row r="9" s="1" customFormat="1" spans="1:14">
      <c r="A9" s="12" t="s">
        <v>37</v>
      </c>
      <c r="B9" s="5" t="s">
        <v>38</v>
      </c>
      <c r="C9" s="5" t="s">
        <v>39</v>
      </c>
      <c r="D9" s="5" t="s">
        <v>20</v>
      </c>
      <c r="E9" s="5">
        <v>45</v>
      </c>
      <c r="F9" s="7">
        <v>30.51</v>
      </c>
      <c r="G9" s="7">
        <f t="shared" si="0"/>
        <v>27</v>
      </c>
      <c r="H9" s="8">
        <v>0.13</v>
      </c>
      <c r="I9" s="7">
        <f t="shared" si="1"/>
        <v>1215</v>
      </c>
      <c r="J9" s="7">
        <f t="shared" si="2"/>
        <v>157.95</v>
      </c>
      <c r="K9" s="7">
        <f t="shared" si="3"/>
        <v>1372.95</v>
      </c>
      <c r="L9" s="3"/>
      <c r="N9" s="2">
        <f t="shared" si="4"/>
        <v>0</v>
      </c>
    </row>
    <row r="10" s="1" customFormat="1" spans="1:14">
      <c r="A10" s="12" t="s">
        <v>40</v>
      </c>
      <c r="B10" s="5" t="s">
        <v>38</v>
      </c>
      <c r="C10" s="5" t="s">
        <v>41</v>
      </c>
      <c r="D10" s="5" t="s">
        <v>20</v>
      </c>
      <c r="E10" s="5">
        <v>73</v>
      </c>
      <c r="F10" s="7">
        <v>21.47</v>
      </c>
      <c r="G10" s="7">
        <f t="shared" si="0"/>
        <v>19</v>
      </c>
      <c r="H10" s="8">
        <v>0.13</v>
      </c>
      <c r="I10" s="7">
        <f t="shared" si="1"/>
        <v>1387</v>
      </c>
      <c r="J10" s="7">
        <f t="shared" si="2"/>
        <v>180.31</v>
      </c>
      <c r="K10" s="7">
        <f t="shared" si="3"/>
        <v>1567.31</v>
      </c>
      <c r="L10" s="3"/>
      <c r="N10" s="2">
        <f t="shared" si="4"/>
        <v>0</v>
      </c>
    </row>
    <row r="11" s="1" customFormat="1" spans="1:14">
      <c r="A11" s="12" t="s">
        <v>42</v>
      </c>
      <c r="B11" s="5" t="s">
        <v>38</v>
      </c>
      <c r="C11" s="5" t="s">
        <v>43</v>
      </c>
      <c r="D11" s="5" t="s">
        <v>20</v>
      </c>
      <c r="E11" s="5">
        <v>11</v>
      </c>
      <c r="F11" s="7">
        <v>46.33</v>
      </c>
      <c r="G11" s="7">
        <f t="shared" si="0"/>
        <v>41</v>
      </c>
      <c r="H11" s="8">
        <v>0.13</v>
      </c>
      <c r="I11" s="7">
        <f t="shared" si="1"/>
        <v>451</v>
      </c>
      <c r="J11" s="7">
        <f t="shared" si="2"/>
        <v>58.63</v>
      </c>
      <c r="K11" s="7">
        <f t="shared" si="3"/>
        <v>509.63</v>
      </c>
      <c r="L11" s="3"/>
      <c r="N11" s="2">
        <f t="shared" si="4"/>
        <v>0</v>
      </c>
    </row>
    <row r="12" s="1" customFormat="1" spans="1:14">
      <c r="A12" s="12" t="s">
        <v>44</v>
      </c>
      <c r="B12" s="5" t="s">
        <v>38</v>
      </c>
      <c r="C12" s="5" t="s">
        <v>45</v>
      </c>
      <c r="D12" s="5" t="s">
        <v>20</v>
      </c>
      <c r="E12" s="5">
        <v>5</v>
      </c>
      <c r="F12" s="7">
        <v>75.71</v>
      </c>
      <c r="G12" s="7">
        <f t="shared" si="0"/>
        <v>67</v>
      </c>
      <c r="H12" s="8">
        <v>0.13</v>
      </c>
      <c r="I12" s="7">
        <f t="shared" si="1"/>
        <v>335</v>
      </c>
      <c r="J12" s="7">
        <f t="shared" si="2"/>
        <v>43.55</v>
      </c>
      <c r="K12" s="7">
        <f t="shared" si="3"/>
        <v>378.55</v>
      </c>
      <c r="L12" s="3"/>
      <c r="N12" s="2">
        <f t="shared" si="4"/>
        <v>0</v>
      </c>
    </row>
    <row r="13" s="1" customFormat="1" spans="1:14">
      <c r="A13" s="12" t="s">
        <v>46</v>
      </c>
      <c r="B13" s="5" t="s">
        <v>38</v>
      </c>
      <c r="C13" s="5" t="s">
        <v>47</v>
      </c>
      <c r="D13" s="5" t="s">
        <v>20</v>
      </c>
      <c r="E13" s="5">
        <v>48</v>
      </c>
      <c r="F13" s="7">
        <v>10.17</v>
      </c>
      <c r="G13" s="7">
        <f t="shared" si="0"/>
        <v>9</v>
      </c>
      <c r="H13" s="8">
        <v>0.13</v>
      </c>
      <c r="I13" s="7">
        <f t="shared" si="1"/>
        <v>432</v>
      </c>
      <c r="J13" s="7">
        <f t="shared" si="2"/>
        <v>56.16</v>
      </c>
      <c r="K13" s="7">
        <f t="shared" si="3"/>
        <v>488.16</v>
      </c>
      <c r="L13" s="3"/>
      <c r="N13" s="2">
        <f t="shared" si="4"/>
        <v>0</v>
      </c>
    </row>
    <row r="14" s="1" customFormat="1" spans="1:14">
      <c r="A14" s="12" t="s">
        <v>48</v>
      </c>
      <c r="B14" s="5" t="s">
        <v>38</v>
      </c>
      <c r="C14" s="5" t="s">
        <v>49</v>
      </c>
      <c r="D14" s="5" t="s">
        <v>20</v>
      </c>
      <c r="E14" s="5">
        <v>61</v>
      </c>
      <c r="F14" s="7">
        <v>12.43</v>
      </c>
      <c r="G14" s="7">
        <f t="shared" si="0"/>
        <v>11</v>
      </c>
      <c r="H14" s="8">
        <v>0.13</v>
      </c>
      <c r="I14" s="7">
        <f t="shared" si="1"/>
        <v>671</v>
      </c>
      <c r="J14" s="7">
        <f t="shared" si="2"/>
        <v>87.23</v>
      </c>
      <c r="K14" s="7">
        <f t="shared" si="3"/>
        <v>758.23</v>
      </c>
      <c r="L14" s="3"/>
      <c r="N14" s="2">
        <f t="shared" si="4"/>
        <v>0</v>
      </c>
    </row>
    <row r="15" s="1" customFormat="1" spans="1:14">
      <c r="A15" s="12" t="s">
        <v>50</v>
      </c>
      <c r="B15" s="5" t="s">
        <v>38</v>
      </c>
      <c r="C15" s="5" t="s">
        <v>51</v>
      </c>
      <c r="D15" s="5" t="s">
        <v>20</v>
      </c>
      <c r="E15" s="5">
        <v>198</v>
      </c>
      <c r="F15" s="7">
        <v>5.65</v>
      </c>
      <c r="G15" s="7">
        <f t="shared" si="0"/>
        <v>5</v>
      </c>
      <c r="H15" s="8">
        <v>0.13</v>
      </c>
      <c r="I15" s="7">
        <f t="shared" si="1"/>
        <v>990</v>
      </c>
      <c r="J15" s="7">
        <f t="shared" si="2"/>
        <v>128.7</v>
      </c>
      <c r="K15" s="7">
        <f t="shared" si="3"/>
        <v>1118.7</v>
      </c>
      <c r="L15" s="3"/>
      <c r="N15" s="2">
        <f t="shared" si="4"/>
        <v>0</v>
      </c>
    </row>
    <row r="16" s="1" customFormat="1" spans="1:14">
      <c r="A16" s="12" t="s">
        <v>52</v>
      </c>
      <c r="B16" s="5" t="s">
        <v>53</v>
      </c>
      <c r="C16" s="5" t="s">
        <v>54</v>
      </c>
      <c r="D16" s="5" t="s">
        <v>20</v>
      </c>
      <c r="E16" s="5">
        <v>116</v>
      </c>
      <c r="F16" s="7">
        <v>16.95</v>
      </c>
      <c r="G16" s="7">
        <f t="shared" si="0"/>
        <v>15</v>
      </c>
      <c r="H16" s="8">
        <v>0.13</v>
      </c>
      <c r="I16" s="7">
        <f t="shared" si="1"/>
        <v>1740</v>
      </c>
      <c r="J16" s="7">
        <f t="shared" si="2"/>
        <v>226.2</v>
      </c>
      <c r="K16" s="7">
        <f t="shared" si="3"/>
        <v>1966.2</v>
      </c>
      <c r="L16" s="3"/>
      <c r="N16" s="2">
        <f t="shared" si="4"/>
        <v>0</v>
      </c>
    </row>
    <row r="17" s="1" customFormat="1" spans="1:14">
      <c r="A17" s="12" t="s">
        <v>55</v>
      </c>
      <c r="B17" s="5" t="s">
        <v>53</v>
      </c>
      <c r="C17" s="5" t="s">
        <v>56</v>
      </c>
      <c r="D17" s="5" t="s">
        <v>20</v>
      </c>
      <c r="E17" s="5">
        <v>16</v>
      </c>
      <c r="F17" s="7">
        <v>30.51</v>
      </c>
      <c r="G17" s="7">
        <f t="shared" si="0"/>
        <v>27</v>
      </c>
      <c r="H17" s="8">
        <v>0.13</v>
      </c>
      <c r="I17" s="7">
        <f t="shared" si="1"/>
        <v>432</v>
      </c>
      <c r="J17" s="7">
        <f t="shared" si="2"/>
        <v>56.16</v>
      </c>
      <c r="K17" s="7">
        <f t="shared" si="3"/>
        <v>488.16</v>
      </c>
      <c r="L17" s="3"/>
      <c r="N17" s="2">
        <f t="shared" si="4"/>
        <v>0</v>
      </c>
    </row>
    <row r="18" s="1" customFormat="1" spans="1:14">
      <c r="A18" s="12" t="s">
        <v>57</v>
      </c>
      <c r="B18" s="5" t="s">
        <v>58</v>
      </c>
      <c r="C18" s="5" t="s">
        <v>59</v>
      </c>
      <c r="D18" s="5" t="s">
        <v>20</v>
      </c>
      <c r="E18" s="5">
        <v>390</v>
      </c>
      <c r="F18" s="7">
        <v>36.16</v>
      </c>
      <c r="G18" s="7">
        <f t="shared" si="0"/>
        <v>32</v>
      </c>
      <c r="H18" s="8">
        <v>0.13</v>
      </c>
      <c r="I18" s="7">
        <f t="shared" si="1"/>
        <v>12480</v>
      </c>
      <c r="J18" s="7">
        <f t="shared" si="2"/>
        <v>1622.4</v>
      </c>
      <c r="K18" s="7">
        <f t="shared" si="3"/>
        <v>14102.4</v>
      </c>
      <c r="L18" s="3"/>
      <c r="N18" s="2">
        <f t="shared" si="4"/>
        <v>0</v>
      </c>
    </row>
    <row r="19" s="1" customFormat="1" spans="1:14">
      <c r="A19" s="12" t="s">
        <v>60</v>
      </c>
      <c r="B19" s="5" t="s">
        <v>61</v>
      </c>
      <c r="C19" s="5" t="s">
        <v>54</v>
      </c>
      <c r="D19" s="5" t="s">
        <v>28</v>
      </c>
      <c r="E19" s="5">
        <v>46</v>
      </c>
      <c r="F19" s="7">
        <v>12.43</v>
      </c>
      <c r="G19" s="7">
        <f t="shared" si="0"/>
        <v>11</v>
      </c>
      <c r="H19" s="8">
        <v>0.13</v>
      </c>
      <c r="I19" s="7">
        <f t="shared" si="1"/>
        <v>506</v>
      </c>
      <c r="J19" s="7">
        <f t="shared" si="2"/>
        <v>65.78</v>
      </c>
      <c r="K19" s="7">
        <f t="shared" si="3"/>
        <v>571.78</v>
      </c>
      <c r="L19" s="3"/>
      <c r="N19" s="2">
        <f t="shared" si="4"/>
        <v>0</v>
      </c>
    </row>
    <row r="20" s="1" customFormat="1" spans="1:14">
      <c r="A20" s="12" t="s">
        <v>62</v>
      </c>
      <c r="B20" s="5" t="s">
        <v>61</v>
      </c>
      <c r="C20" s="5" t="s">
        <v>56</v>
      </c>
      <c r="D20" s="5" t="s">
        <v>28</v>
      </c>
      <c r="E20" s="5">
        <v>4</v>
      </c>
      <c r="F20" s="7">
        <v>22.6</v>
      </c>
      <c r="G20" s="7">
        <f t="shared" si="0"/>
        <v>20</v>
      </c>
      <c r="H20" s="8">
        <v>0.13</v>
      </c>
      <c r="I20" s="7">
        <f t="shared" si="1"/>
        <v>80</v>
      </c>
      <c r="J20" s="7">
        <f t="shared" si="2"/>
        <v>10.4</v>
      </c>
      <c r="K20" s="7">
        <f t="shared" si="3"/>
        <v>90.4</v>
      </c>
      <c r="L20" s="3"/>
      <c r="N20" s="2">
        <f t="shared" si="4"/>
        <v>0</v>
      </c>
    </row>
    <row r="21" s="1" customFormat="1" spans="1:14">
      <c r="A21" s="12" t="s">
        <v>63</v>
      </c>
      <c r="B21" s="5" t="s">
        <v>64</v>
      </c>
      <c r="C21" s="5" t="s">
        <v>45</v>
      </c>
      <c r="D21" s="5" t="s">
        <v>28</v>
      </c>
      <c r="E21" s="5">
        <v>1</v>
      </c>
      <c r="F21" s="7">
        <v>508.5</v>
      </c>
      <c r="G21" s="7">
        <f t="shared" si="0"/>
        <v>450</v>
      </c>
      <c r="H21" s="8">
        <v>0.13</v>
      </c>
      <c r="I21" s="7">
        <f t="shared" si="1"/>
        <v>450</v>
      </c>
      <c r="J21" s="7">
        <f t="shared" si="2"/>
        <v>58.5</v>
      </c>
      <c r="K21" s="7">
        <f t="shared" si="3"/>
        <v>508.5</v>
      </c>
      <c r="L21" s="3"/>
      <c r="N21" s="2">
        <f t="shared" si="4"/>
        <v>0</v>
      </c>
    </row>
    <row r="22" s="1" customFormat="1" spans="1:14">
      <c r="A22" s="12" t="s">
        <v>65</v>
      </c>
      <c r="B22" s="5" t="s">
        <v>66</v>
      </c>
      <c r="C22" s="5" t="s">
        <v>51</v>
      </c>
      <c r="D22" s="5" t="s">
        <v>28</v>
      </c>
      <c r="E22" s="5">
        <v>9</v>
      </c>
      <c r="F22" s="7">
        <v>83.62</v>
      </c>
      <c r="G22" s="7">
        <f t="shared" si="0"/>
        <v>74</v>
      </c>
      <c r="H22" s="8">
        <v>0.13</v>
      </c>
      <c r="I22" s="7">
        <f t="shared" si="1"/>
        <v>666</v>
      </c>
      <c r="J22" s="7">
        <f t="shared" si="2"/>
        <v>86.58</v>
      </c>
      <c r="K22" s="7">
        <f t="shared" si="3"/>
        <v>752.58</v>
      </c>
      <c r="L22" s="3"/>
      <c r="N22" s="2">
        <f t="shared" si="4"/>
        <v>0</v>
      </c>
    </row>
    <row r="23" s="1" customFormat="1" spans="1:14">
      <c r="A23" s="12" t="s">
        <v>67</v>
      </c>
      <c r="B23" s="5" t="s">
        <v>68</v>
      </c>
      <c r="C23" s="5" t="s">
        <v>43</v>
      </c>
      <c r="D23" s="5" t="s">
        <v>28</v>
      </c>
      <c r="E23" s="5">
        <v>2</v>
      </c>
      <c r="F23" s="7">
        <v>265.55</v>
      </c>
      <c r="G23" s="7">
        <f t="shared" si="0"/>
        <v>235</v>
      </c>
      <c r="H23" s="8">
        <v>0.13</v>
      </c>
      <c r="I23" s="7">
        <f t="shared" si="1"/>
        <v>470</v>
      </c>
      <c r="J23" s="7">
        <f t="shared" si="2"/>
        <v>61.1</v>
      </c>
      <c r="K23" s="7">
        <f t="shared" si="3"/>
        <v>531.1</v>
      </c>
      <c r="L23" s="3"/>
      <c r="N23" s="2">
        <f t="shared" si="4"/>
        <v>0</v>
      </c>
    </row>
    <row r="24" s="1" customFormat="1" spans="1:14">
      <c r="A24" s="12" t="s">
        <v>69</v>
      </c>
      <c r="B24" s="5" t="s">
        <v>70</v>
      </c>
      <c r="C24" s="5" t="s">
        <v>45</v>
      </c>
      <c r="D24" s="5" t="s">
        <v>28</v>
      </c>
      <c r="E24" s="5">
        <v>1</v>
      </c>
      <c r="F24" s="7">
        <v>522.06</v>
      </c>
      <c r="G24" s="7">
        <f t="shared" si="0"/>
        <v>462</v>
      </c>
      <c r="H24" s="8">
        <v>0.13</v>
      </c>
      <c r="I24" s="7">
        <f t="shared" si="1"/>
        <v>462</v>
      </c>
      <c r="J24" s="7">
        <f t="shared" si="2"/>
        <v>60.06</v>
      </c>
      <c r="K24" s="7">
        <f t="shared" si="3"/>
        <v>522.06</v>
      </c>
      <c r="L24" s="3"/>
      <c r="N24" s="2">
        <f t="shared" si="4"/>
        <v>0</v>
      </c>
    </row>
    <row r="25" s="1" customFormat="1" spans="1:14">
      <c r="A25" s="12" t="s">
        <v>71</v>
      </c>
      <c r="B25" s="5" t="s">
        <v>72</v>
      </c>
      <c r="C25" s="5" t="s">
        <v>45</v>
      </c>
      <c r="D25" s="5" t="s">
        <v>28</v>
      </c>
      <c r="E25" s="5">
        <v>1</v>
      </c>
      <c r="F25" s="7">
        <v>522.06</v>
      </c>
      <c r="G25" s="7">
        <f t="shared" si="0"/>
        <v>462</v>
      </c>
      <c r="H25" s="8">
        <v>0.13</v>
      </c>
      <c r="I25" s="7">
        <f t="shared" si="1"/>
        <v>462</v>
      </c>
      <c r="J25" s="7">
        <f t="shared" si="2"/>
        <v>60.06</v>
      </c>
      <c r="K25" s="7">
        <f t="shared" si="3"/>
        <v>522.06</v>
      </c>
      <c r="L25" s="3"/>
      <c r="N25" s="2">
        <f t="shared" si="4"/>
        <v>0</v>
      </c>
    </row>
    <row r="26" s="1" customFormat="1" spans="1:14">
      <c r="A26" s="12" t="s">
        <v>73</v>
      </c>
      <c r="B26" s="5" t="s">
        <v>68</v>
      </c>
      <c r="C26" s="5" t="s">
        <v>45</v>
      </c>
      <c r="D26" s="5" t="s">
        <v>28</v>
      </c>
      <c r="E26" s="5">
        <v>1</v>
      </c>
      <c r="F26" s="7">
        <v>354.82</v>
      </c>
      <c r="G26" s="7">
        <f t="shared" si="0"/>
        <v>314</v>
      </c>
      <c r="H26" s="8">
        <v>0.13</v>
      </c>
      <c r="I26" s="7">
        <f t="shared" si="1"/>
        <v>314</v>
      </c>
      <c r="J26" s="7">
        <f t="shared" si="2"/>
        <v>40.82</v>
      </c>
      <c r="K26" s="7">
        <f t="shared" si="3"/>
        <v>354.82</v>
      </c>
      <c r="L26" s="3"/>
      <c r="N26" s="2">
        <f t="shared" si="4"/>
        <v>0</v>
      </c>
    </row>
    <row r="27" s="1" customFormat="1" spans="1:14">
      <c r="A27" s="12" t="s">
        <v>74</v>
      </c>
      <c r="B27" s="5" t="s">
        <v>75</v>
      </c>
      <c r="C27" s="5" t="s">
        <v>45</v>
      </c>
      <c r="D27" s="5" t="s">
        <v>28</v>
      </c>
      <c r="E27" s="5">
        <v>1</v>
      </c>
      <c r="F27" s="7">
        <v>200.01</v>
      </c>
      <c r="G27" s="7">
        <f t="shared" si="0"/>
        <v>177</v>
      </c>
      <c r="H27" s="8">
        <v>0.13</v>
      </c>
      <c r="I27" s="7">
        <f t="shared" si="1"/>
        <v>177</v>
      </c>
      <c r="J27" s="7">
        <f t="shared" si="2"/>
        <v>23.01</v>
      </c>
      <c r="K27" s="7">
        <f t="shared" si="3"/>
        <v>200.01</v>
      </c>
      <c r="L27" s="3"/>
      <c r="N27" s="2">
        <f t="shared" si="4"/>
        <v>0</v>
      </c>
    </row>
    <row r="28" s="1" customFormat="1" spans="1:14">
      <c r="A28" s="12" t="s">
        <v>76</v>
      </c>
      <c r="B28" s="5" t="s">
        <v>77</v>
      </c>
      <c r="C28" s="5" t="s">
        <v>41</v>
      </c>
      <c r="D28" s="5" t="s">
        <v>28</v>
      </c>
      <c r="E28" s="5">
        <v>11</v>
      </c>
      <c r="F28" s="7">
        <v>125.43</v>
      </c>
      <c r="G28" s="7">
        <f t="shared" si="0"/>
        <v>111</v>
      </c>
      <c r="H28" s="8">
        <v>0.13</v>
      </c>
      <c r="I28" s="7">
        <f t="shared" si="1"/>
        <v>1221</v>
      </c>
      <c r="J28" s="7">
        <f t="shared" si="2"/>
        <v>158.73</v>
      </c>
      <c r="K28" s="7">
        <f t="shared" si="3"/>
        <v>1379.73</v>
      </c>
      <c r="L28" s="3"/>
      <c r="N28" s="2">
        <f t="shared" si="4"/>
        <v>0</v>
      </c>
    </row>
    <row r="29" s="1" customFormat="1" spans="1:14">
      <c r="A29" s="12" t="s">
        <v>78</v>
      </c>
      <c r="B29" s="5" t="s">
        <v>79</v>
      </c>
      <c r="C29" s="5" t="s">
        <v>80</v>
      </c>
      <c r="D29" s="5" t="s">
        <v>81</v>
      </c>
      <c r="E29" s="5">
        <v>32</v>
      </c>
      <c r="F29" s="7">
        <v>588.73</v>
      </c>
      <c r="G29" s="7">
        <f t="shared" si="0"/>
        <v>521</v>
      </c>
      <c r="H29" s="8">
        <v>0.13</v>
      </c>
      <c r="I29" s="7">
        <f t="shared" si="1"/>
        <v>16672</v>
      </c>
      <c r="J29" s="7">
        <f t="shared" si="2"/>
        <v>2167.36</v>
      </c>
      <c r="K29" s="7">
        <f t="shared" si="3"/>
        <v>18839.36</v>
      </c>
      <c r="L29" s="3"/>
      <c r="N29" s="2">
        <f t="shared" si="4"/>
        <v>0</v>
      </c>
    </row>
    <row r="30" s="1" customFormat="1" spans="1:14">
      <c r="A30" s="12" t="s">
        <v>82</v>
      </c>
      <c r="B30" s="5" t="s">
        <v>83</v>
      </c>
      <c r="C30" s="5" t="s">
        <v>59</v>
      </c>
      <c r="D30" s="5" t="s">
        <v>20</v>
      </c>
      <c r="E30" s="5">
        <v>143</v>
      </c>
      <c r="F30" s="7">
        <v>36.16</v>
      </c>
      <c r="G30" s="7">
        <f t="shared" si="0"/>
        <v>32</v>
      </c>
      <c r="H30" s="8">
        <v>0.13</v>
      </c>
      <c r="I30" s="7">
        <f t="shared" si="1"/>
        <v>4576</v>
      </c>
      <c r="J30" s="7">
        <f t="shared" si="2"/>
        <v>594.88</v>
      </c>
      <c r="K30" s="7">
        <f t="shared" si="3"/>
        <v>5170.88</v>
      </c>
      <c r="L30" s="3"/>
      <c r="N30" s="2">
        <f t="shared" si="4"/>
        <v>0</v>
      </c>
    </row>
    <row r="31" s="1" customFormat="1" spans="1:14">
      <c r="A31" s="12" t="s">
        <v>84</v>
      </c>
      <c r="B31" s="5" t="s">
        <v>83</v>
      </c>
      <c r="C31" s="5" t="s">
        <v>85</v>
      </c>
      <c r="D31" s="5" t="s">
        <v>20</v>
      </c>
      <c r="E31" s="5">
        <v>14</v>
      </c>
      <c r="F31" s="7">
        <v>65.54</v>
      </c>
      <c r="G31" s="7">
        <f t="shared" si="0"/>
        <v>58</v>
      </c>
      <c r="H31" s="8">
        <v>0.13</v>
      </c>
      <c r="I31" s="7">
        <f t="shared" si="1"/>
        <v>812</v>
      </c>
      <c r="J31" s="7">
        <f t="shared" si="2"/>
        <v>105.56</v>
      </c>
      <c r="K31" s="7">
        <f t="shared" si="3"/>
        <v>917.56</v>
      </c>
      <c r="L31" s="3"/>
      <c r="N31" s="2">
        <f t="shared" si="4"/>
        <v>0</v>
      </c>
    </row>
    <row r="32" s="1" customFormat="1" spans="1:14">
      <c r="A32" s="12" t="s">
        <v>86</v>
      </c>
      <c r="B32" s="5" t="s">
        <v>87</v>
      </c>
      <c r="C32" s="5" t="s">
        <v>88</v>
      </c>
      <c r="D32" s="5" t="s">
        <v>20</v>
      </c>
      <c r="E32" s="5">
        <v>143</v>
      </c>
      <c r="F32" s="7">
        <v>29.38</v>
      </c>
      <c r="G32" s="7">
        <f t="shared" si="0"/>
        <v>26</v>
      </c>
      <c r="H32" s="8">
        <v>0.13</v>
      </c>
      <c r="I32" s="7">
        <f t="shared" si="1"/>
        <v>3718</v>
      </c>
      <c r="J32" s="7">
        <f t="shared" si="2"/>
        <v>483.34</v>
      </c>
      <c r="K32" s="7">
        <f t="shared" si="3"/>
        <v>4201.34</v>
      </c>
      <c r="L32" s="3"/>
      <c r="N32" s="2">
        <f t="shared" si="4"/>
        <v>0</v>
      </c>
    </row>
    <row r="33" s="1" customFormat="1" ht="22.5" spans="1:14">
      <c r="A33" s="12" t="s">
        <v>89</v>
      </c>
      <c r="B33" s="5" t="s">
        <v>90</v>
      </c>
      <c r="C33" s="5" t="s">
        <v>91</v>
      </c>
      <c r="D33" s="5" t="s">
        <v>92</v>
      </c>
      <c r="E33" s="5">
        <v>3</v>
      </c>
      <c r="F33" s="7">
        <v>454.26</v>
      </c>
      <c r="G33" s="7">
        <f t="shared" si="0"/>
        <v>402</v>
      </c>
      <c r="H33" s="8">
        <v>0.13</v>
      </c>
      <c r="I33" s="7">
        <f t="shared" si="1"/>
        <v>1206</v>
      </c>
      <c r="J33" s="7">
        <f t="shared" si="2"/>
        <v>156.78</v>
      </c>
      <c r="K33" s="7">
        <f t="shared" si="3"/>
        <v>1362.78</v>
      </c>
      <c r="L33" s="3"/>
      <c r="N33" s="2">
        <f t="shared" si="4"/>
        <v>0</v>
      </c>
    </row>
    <row r="34" s="1" customFormat="1" spans="1:14">
      <c r="A34" s="12" t="s">
        <v>93</v>
      </c>
      <c r="B34" s="5" t="s">
        <v>94</v>
      </c>
      <c r="C34" s="5" t="s">
        <v>95</v>
      </c>
      <c r="D34" s="5" t="s">
        <v>92</v>
      </c>
      <c r="E34" s="5">
        <v>199</v>
      </c>
      <c r="F34" s="7">
        <v>454.26</v>
      </c>
      <c r="G34" s="7">
        <f t="shared" si="0"/>
        <v>402</v>
      </c>
      <c r="H34" s="8">
        <v>0.13</v>
      </c>
      <c r="I34" s="7">
        <f t="shared" si="1"/>
        <v>79998</v>
      </c>
      <c r="J34" s="7">
        <f t="shared" si="2"/>
        <v>10399.74</v>
      </c>
      <c r="K34" s="7">
        <f t="shared" si="3"/>
        <v>90397.74</v>
      </c>
      <c r="L34" s="3"/>
      <c r="N34" s="2">
        <f t="shared" si="4"/>
        <v>0</v>
      </c>
    </row>
    <row r="35" s="1" customFormat="1" ht="33.75" spans="1:14">
      <c r="A35" s="12" t="s">
        <v>96</v>
      </c>
      <c r="B35" s="5" t="s">
        <v>97</v>
      </c>
      <c r="C35" s="5" t="s">
        <v>98</v>
      </c>
      <c r="D35" s="5" t="s">
        <v>92</v>
      </c>
      <c r="E35" s="5">
        <v>0.88</v>
      </c>
      <c r="F35" s="7">
        <v>454.26</v>
      </c>
      <c r="G35" s="7">
        <f t="shared" si="0"/>
        <v>402</v>
      </c>
      <c r="H35" s="8">
        <v>0.13</v>
      </c>
      <c r="I35" s="7">
        <f t="shared" si="1"/>
        <v>353.76</v>
      </c>
      <c r="J35" s="7">
        <f t="shared" si="2"/>
        <v>45.9888</v>
      </c>
      <c r="K35" s="7">
        <f t="shared" si="3"/>
        <v>399.7488</v>
      </c>
      <c r="L35" s="3"/>
      <c r="N35" s="2">
        <f t="shared" si="4"/>
        <v>0</v>
      </c>
    </row>
    <row r="36" s="1" customFormat="1" spans="1:14">
      <c r="A36" s="12" t="s">
        <v>99</v>
      </c>
      <c r="B36" s="5" t="s">
        <v>100</v>
      </c>
      <c r="C36" s="5" t="s">
        <v>101</v>
      </c>
      <c r="D36" s="5" t="s">
        <v>32</v>
      </c>
      <c r="E36" s="5">
        <v>11</v>
      </c>
      <c r="F36" s="7">
        <v>436.18</v>
      </c>
      <c r="G36" s="7">
        <f t="shared" si="0"/>
        <v>386</v>
      </c>
      <c r="H36" s="8">
        <v>0.13</v>
      </c>
      <c r="I36" s="7">
        <f t="shared" si="1"/>
        <v>4246</v>
      </c>
      <c r="J36" s="7">
        <f t="shared" si="2"/>
        <v>551.98</v>
      </c>
      <c r="K36" s="7">
        <f t="shared" si="3"/>
        <v>4797.98</v>
      </c>
      <c r="L36" s="3"/>
      <c r="N36" s="2">
        <f t="shared" si="4"/>
        <v>0</v>
      </c>
    </row>
    <row r="37" s="1" customFormat="1" spans="1:14">
      <c r="A37" s="9" t="s">
        <v>102</v>
      </c>
      <c r="B37" s="10"/>
      <c r="C37" s="10"/>
      <c r="D37" s="10"/>
      <c r="E37" s="10"/>
      <c r="F37" s="10"/>
      <c r="G37" s="10"/>
      <c r="H37" s="11"/>
      <c r="I37" s="7">
        <f>SUM(I2:I36)</f>
        <v>219741.76</v>
      </c>
      <c r="J37" s="7">
        <f>SUM(J2:J36)</f>
        <v>28566.4288</v>
      </c>
      <c r="K37" s="7">
        <f>SUM(K2:K36)</f>
        <v>248308.1888</v>
      </c>
      <c r="L37" s="3"/>
      <c r="N37" s="2"/>
    </row>
  </sheetData>
  <mergeCells count="1">
    <mergeCell ref="A37:H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SW_</dc:creator>
  <cp:lastModifiedBy>YL</cp:lastModifiedBy>
  <dcterms:created xsi:type="dcterms:W3CDTF">2025-05-08T02:00:00Z</dcterms:created>
  <dcterms:modified xsi:type="dcterms:W3CDTF">2025-09-04T08:21:23Z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4042059EA05B4A62AA8166167BA33D9E_11</vt:lpwstr>
  </property>
  <property fmtid="{D5CDD505-2E9C-101B-9397-08002B2CF9AE}" pid="3" name="KSOProductBuildVer">
    <vt:lpwstr>2052-12.1.0.22529</vt:lpwstr>
  </property>
</Properties>
</file>