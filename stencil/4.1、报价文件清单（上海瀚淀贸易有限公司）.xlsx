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<sst xmlns="http://schemas.openxmlformats.org/spreadsheetml/2006/main" count="119" uniqueCount="68">
  <si>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序号</t>
  </si>
  <si>
    <t>品种名称</t>
  </si>
  <si>
    <t>规格型号</t>
  </si>
  <si>
    <t>单位</t>
  </si>
  <si>
    <t>数量</t>
  </si>
  <si>
    <t>含税单价（元）</t>
  </si>
  <si>
    <t>不含税单价（元）</t>
  </si>
  <si>
    <t>税率</t>
  </si>
  <si>
    <t>不含税合价（元）</t>
  </si>
  <si>
    <t>税额（元）</t>
  </si>
  <si>
    <t>含税合价（元）</t>
  </si>
  <si>
    <t>备注</t>
  </si>
  <si>
    <t>验算</t>
  </si>
  <si>
    <t>景观配电箱</t>
  </si>
  <si>
    <t>300*440*140</t>
  </si>
  <si>
    <t>只</t>
  </si>
  <si>
    <t>电缆线</t>
  </si>
  <si>
    <t>YJV-3*4</t>
  </si>
  <si>
    <t>m</t>
  </si>
  <si>
    <t>YJV-2*2.5</t>
  </si>
  <si>
    <t>JHS-4*4</t>
  </si>
  <si>
    <t>PVC-U管橡胶圈</t>
  </si>
  <si>
    <t>直径225</t>
  </si>
  <si>
    <t>个</t>
  </si>
  <si>
    <t>铸铁雨水井箅</t>
  </si>
  <si>
    <t>800mm</t>
  </si>
  <si>
    <t>套</t>
  </si>
  <si>
    <t>卧式不锈钢潜水泵</t>
  </si>
  <si>
    <t>QSP40-8-1.5</t>
  </si>
  <si>
    <t>台</t>
  </si>
  <si>
    <t>PE管</t>
  </si>
  <si>
    <t>DN75</t>
  </si>
  <si>
    <t>DN50</t>
  </si>
  <si>
    <t>DN80</t>
  </si>
  <si>
    <t>DN100</t>
  </si>
  <si>
    <t>DN32</t>
  </si>
  <si>
    <t>DN40</t>
  </si>
  <si>
    <t>DN25</t>
  </si>
  <si>
    <t>PVC-U平壁管</t>
  </si>
  <si>
    <t>dn110</t>
  </si>
  <si>
    <t>dn160</t>
  </si>
  <si>
    <t>HDPE双壁波纹管</t>
  </si>
  <si>
    <t>DN225</t>
  </si>
  <si>
    <t>承插塑料排水管件</t>
  </si>
  <si>
    <t>止回阀</t>
  </si>
  <si>
    <t>快速取水阀（铜制）</t>
  </si>
  <si>
    <t>闸阀</t>
  </si>
  <si>
    <t>阀门箱10寸（含阀门）</t>
  </si>
  <si>
    <t>10寸阀门箱</t>
  </si>
  <si>
    <t>软接头</t>
  </si>
  <si>
    <t>池底出水口</t>
  </si>
  <si>
    <t>环保雨水口</t>
  </si>
  <si>
    <t>400×600</t>
  </si>
  <si>
    <t>座</t>
  </si>
  <si>
    <t>PE双壁波纹管</t>
  </si>
  <si>
    <t>DN300</t>
  </si>
  <si>
    <t>HDPE开槽穿孔管</t>
  </si>
  <si>
    <t>De110</t>
  </si>
  <si>
    <t>黑色成品树脂排水格栅</t>
  </si>
  <si>
    <t>600*210*30mm</t>
  </si>
  <si>
    <t>m2</t>
  </si>
  <si>
    <t>铸铁井盖篦子</t>
  </si>
  <si>
    <t>300*30mm</t>
  </si>
  <si>
    <t>线性排水沟格栅板</t>
  </si>
  <si>
    <t>304不锈钢1000*250*50*2mm</t>
  </si>
  <si>
    <t>铸铁井盖井座</t>
  </si>
  <si>
    <t>Ф600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</si>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</sst>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9" fontId="1" fillId="0" borderId="1" xfId="3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9" fontId="2" fillId="0" borderId="1" xfId="3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9" fontId="0" fillId="0" borderId="4" xfId="3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96" zoomScaleNormal="96" workbookViewId="0">
      <selection activeCell="C2" sqref="C2"/>
    </sheetView>
  </sheetViews>
  <sheetFormatPr defaultColWidth="9" defaultRowHeight="13.5"/>
  <cols>
    <col min="1" max="1" width="6.24166666666667" style="1" customWidth="1"/>
    <col min="2" max="2" width="14.5333333333333" style="1" customWidth="1"/>
    <col min="3" max="3" width="12.725" style="1" customWidth="1"/>
    <col min="4" max="5" width="9" style="1"/>
    <col min="6" max="6" width="14.0333333333333" style="1" customWidth="1"/>
    <col min="7" max="7" width="15.7" style="1" customWidth="1"/>
    <col min="8" max="8" width="8.25" style="2" customWidth="1"/>
    <col min="9" max="9" width="16.6333333333333" style="1" customWidth="1"/>
    <col min="10" max="10" width="10.7166666666667" style="1" customWidth="1"/>
    <col min="11" max="11" width="15.1" style="1" customWidth="1"/>
    <col min="12" max="12" width="7.01666666666667" style="1" customWidth="1"/>
    <col min="13" max="13" width="9" style="1"/>
    <col min="14" max="14" width="10.5916666666667" style="3"/>
    <col min="15" max="16377" width="9" style="1"/>
    <col min="16378" max="16384" width="9" style="4"/>
  </cols>
  <sheetData>
    <row r="1" s="1" customFormat="1" spans="1:14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5" t="s">
        <v>9</v>
      </c>
      <c r="K1" s="6" t="s">
        <v>10</v>
      </c>
      <c r="L1" s="6" t="s">
        <v>11</v>
      </c>
      <c r="N1" s="3" t="s">
        <v>12</v>
      </c>
    </row>
    <row r="2" s="1" customFormat="1" spans="1:14">
      <c r="A2" s="8">
        <v>1</v>
      </c>
      <c r="B2" s="8" t="s">
        <v>13</v>
      </c>
      <c r="C2" s="8" t="s">
        <v>14</v>
      </c>
      <c r="D2" s="8" t="s">
        <v>15</v>
      </c>
      <c r="E2" s="8">
        <v>1</v>
      </c>
      <c r="F2" s="8">
        <v>3406</v>
      </c>
      <c r="G2" s="9">
        <f>F2/(1+H2)</f>
        <v>3014.1592920354</v>
      </c>
      <c r="H2" s="10">
        <v>0.13</v>
      </c>
      <c r="I2" s="9">
        <f>E2*G2</f>
        <v>3014.1592920354</v>
      </c>
      <c r="J2" s="9">
        <f>E2*G2*H2</f>
        <v>391.840707964602</v>
      </c>
      <c r="K2" s="8">
        <f>F2*E2</f>
        <v>3406</v>
      </c>
      <c r="L2" s="5"/>
      <c r="N2" s="3">
        <f>I2+J2-K2</f>
        <v>0</v>
      </c>
    </row>
    <row r="3" s="1" customFormat="1" spans="1:14">
      <c r="A3" s="8">
        <v>2</v>
      </c>
      <c r="B3" s="8" t="s">
        <v>16</v>
      </c>
      <c r="C3" s="8" t="s">
        <v>17</v>
      </c>
      <c r="D3" s="8" t="s">
        <v>18</v>
      </c>
      <c r="E3" s="8">
        <v>3045</v>
      </c>
      <c r="F3" s="8">
        <v>11</v>
      </c>
      <c r="G3" s="9">
        <f t="shared" ref="G3:G36" si="0">F3/(1+H3)</f>
        <v>9.73451327433628</v>
      </c>
      <c r="H3" s="10">
        <v>0.13</v>
      </c>
      <c r="I3" s="9">
        <f t="shared" ref="I3:I36" si="1">E3*G3</f>
        <v>29641.592920354</v>
      </c>
      <c r="J3" s="9">
        <f t="shared" ref="J3:J36" si="2">E3*G3*H3</f>
        <v>3853.40707964602</v>
      </c>
      <c r="K3" s="8">
        <f t="shared" ref="K3:K36" si="3">F3*E3</f>
        <v>33495</v>
      </c>
      <c r="L3" s="5"/>
      <c r="N3" s="3">
        <f t="shared" ref="N3:N36" si="4">I3+J3-K3</f>
        <v>0</v>
      </c>
    </row>
    <row r="4" s="1" customFormat="1" spans="1:14">
      <c r="A4" s="8">
        <v>3</v>
      </c>
      <c r="B4" s="8" t="s">
        <v>16</v>
      </c>
      <c r="C4" s="8" t="s">
        <v>19</v>
      </c>
      <c r="D4" s="8" t="s">
        <v>18</v>
      </c>
      <c r="E4" s="8">
        <v>35</v>
      </c>
      <c r="F4" s="8">
        <v>5</v>
      </c>
      <c r="G4" s="9">
        <f t="shared" si="0"/>
        <v>4.42477876106195</v>
      </c>
      <c r="H4" s="10">
        <v>0.13</v>
      </c>
      <c r="I4" s="9">
        <f t="shared" si="1"/>
        <v>154.867256637168</v>
      </c>
      <c r="J4" s="9">
        <f t="shared" si="2"/>
        <v>20.1327433628319</v>
      </c>
      <c r="K4" s="8">
        <f t="shared" si="3"/>
        <v>175</v>
      </c>
      <c r="L4" s="5"/>
      <c r="N4" s="3">
        <f t="shared" si="4"/>
        <v>0</v>
      </c>
    </row>
    <row r="5" s="1" customFormat="1" spans="1:14">
      <c r="A5" s="8">
        <v>4</v>
      </c>
      <c r="B5" s="8" t="s">
        <v>16</v>
      </c>
      <c r="C5" s="8" t="s">
        <v>20</v>
      </c>
      <c r="D5" s="8" t="s">
        <v>18</v>
      </c>
      <c r="E5" s="8">
        <v>45</v>
      </c>
      <c r="F5" s="8">
        <v>15</v>
      </c>
      <c r="G5" s="9">
        <f t="shared" si="0"/>
        <v>13.2743362831858</v>
      </c>
      <c r="H5" s="10">
        <v>0.13</v>
      </c>
      <c r="I5" s="9">
        <f t="shared" si="1"/>
        <v>597.345132743363</v>
      </c>
      <c r="J5" s="9">
        <f t="shared" si="2"/>
        <v>77.6548672566372</v>
      </c>
      <c r="K5" s="8">
        <f t="shared" si="3"/>
        <v>675</v>
      </c>
      <c r="L5" s="5"/>
      <c r="N5" s="3">
        <f t="shared" si="4"/>
        <v>0</v>
      </c>
    </row>
    <row r="6" s="1" customFormat="1" spans="1:14">
      <c r="A6" s="8">
        <v>5</v>
      </c>
      <c r="B6" s="8" t="s">
        <v>21</v>
      </c>
      <c r="C6" s="8" t="s">
        <v>22</v>
      </c>
      <c r="D6" s="8" t="s">
        <v>23</v>
      </c>
      <c r="E6" s="8">
        <v>120</v>
      </c>
      <c r="F6" s="8">
        <v>11</v>
      </c>
      <c r="G6" s="9">
        <f t="shared" si="0"/>
        <v>9.73451327433628</v>
      </c>
      <c r="H6" s="10">
        <v>0.13</v>
      </c>
      <c r="I6" s="9">
        <f t="shared" si="1"/>
        <v>1168.14159292035</v>
      </c>
      <c r="J6" s="9">
        <f t="shared" si="2"/>
        <v>151.858407079646</v>
      </c>
      <c r="K6" s="8">
        <f t="shared" si="3"/>
        <v>1320</v>
      </c>
      <c r="L6" s="5"/>
      <c r="N6" s="3">
        <f t="shared" si="4"/>
        <v>0</v>
      </c>
    </row>
    <row r="7" s="1" customFormat="1" spans="1:14">
      <c r="A7" s="8">
        <v>6</v>
      </c>
      <c r="B7" s="8" t="s">
        <v>24</v>
      </c>
      <c r="C7" s="8" t="s">
        <v>25</v>
      </c>
      <c r="D7" s="8" t="s">
        <v>26</v>
      </c>
      <c r="E7" s="8">
        <v>114</v>
      </c>
      <c r="F7" s="8">
        <v>388</v>
      </c>
      <c r="G7" s="9">
        <f t="shared" si="0"/>
        <v>343.362831858407</v>
      </c>
      <c r="H7" s="10">
        <v>0.13</v>
      </c>
      <c r="I7" s="9">
        <f t="shared" si="1"/>
        <v>39143.3628318584</v>
      </c>
      <c r="J7" s="9">
        <f t="shared" si="2"/>
        <v>5088.63716814159</v>
      </c>
      <c r="K7" s="8">
        <f t="shared" si="3"/>
        <v>44232</v>
      </c>
      <c r="L7" s="5"/>
      <c r="N7" s="3">
        <f t="shared" si="4"/>
        <v>0</v>
      </c>
    </row>
    <row r="8" s="1" customFormat="1" spans="1:14">
      <c r="A8" s="8">
        <v>7</v>
      </c>
      <c r="B8" s="8" t="s">
        <v>27</v>
      </c>
      <c r="C8" s="8" t="s">
        <v>28</v>
      </c>
      <c r="D8" s="8" t="s">
        <v>29</v>
      </c>
      <c r="E8" s="8">
        <v>1</v>
      </c>
      <c r="F8" s="8">
        <v>3955</v>
      </c>
      <c r="G8" s="9">
        <f t="shared" si="0"/>
        <v>3500</v>
      </c>
      <c r="H8" s="10">
        <v>0.13</v>
      </c>
      <c r="I8" s="9">
        <f t="shared" si="1"/>
        <v>3500</v>
      </c>
      <c r="J8" s="9">
        <f t="shared" si="2"/>
        <v>455</v>
      </c>
      <c r="K8" s="8">
        <f t="shared" si="3"/>
        <v>3955</v>
      </c>
      <c r="L8" s="5"/>
      <c r="N8" s="3">
        <f t="shared" si="4"/>
        <v>0</v>
      </c>
    </row>
    <row r="9" s="1" customFormat="1" spans="1:14">
      <c r="A9" s="8">
        <v>8</v>
      </c>
      <c r="B9" s="8" t="s">
        <v>30</v>
      </c>
      <c r="C9" s="8" t="s">
        <v>31</v>
      </c>
      <c r="D9" s="8" t="s">
        <v>18</v>
      </c>
      <c r="E9" s="8">
        <v>45</v>
      </c>
      <c r="F9" s="8">
        <v>29</v>
      </c>
      <c r="G9" s="9">
        <f t="shared" si="0"/>
        <v>25.6637168141593</v>
      </c>
      <c r="H9" s="10">
        <v>0.13</v>
      </c>
      <c r="I9" s="9">
        <f t="shared" si="1"/>
        <v>1154.86725663717</v>
      </c>
      <c r="J9" s="9">
        <f t="shared" si="2"/>
        <v>150.132743362832</v>
      </c>
      <c r="K9" s="8">
        <f t="shared" si="3"/>
        <v>1305</v>
      </c>
      <c r="L9" s="5"/>
      <c r="N9" s="3">
        <f t="shared" si="4"/>
        <v>0</v>
      </c>
    </row>
    <row r="10" s="1" customFormat="1" spans="1:14">
      <c r="A10" s="8">
        <v>9</v>
      </c>
      <c r="B10" s="8" t="s">
        <v>30</v>
      </c>
      <c r="C10" s="8" t="s">
        <v>32</v>
      </c>
      <c r="D10" s="8" t="s">
        <v>18</v>
      </c>
      <c r="E10" s="8">
        <v>73</v>
      </c>
      <c r="F10" s="8">
        <v>20</v>
      </c>
      <c r="G10" s="9">
        <f t="shared" si="0"/>
        <v>17.6991150442478</v>
      </c>
      <c r="H10" s="10">
        <v>0.13</v>
      </c>
      <c r="I10" s="9">
        <f t="shared" si="1"/>
        <v>1292.03539823009</v>
      </c>
      <c r="J10" s="9">
        <f t="shared" si="2"/>
        <v>167.964601769912</v>
      </c>
      <c r="K10" s="8">
        <f t="shared" si="3"/>
        <v>1460</v>
      </c>
      <c r="L10" s="5"/>
      <c r="N10" s="3">
        <f t="shared" si="4"/>
        <v>0</v>
      </c>
    </row>
    <row r="11" s="1" customFormat="1" spans="1:14">
      <c r="A11" s="8">
        <v>10</v>
      </c>
      <c r="B11" s="8" t="s">
        <v>30</v>
      </c>
      <c r="C11" s="8" t="s">
        <v>33</v>
      </c>
      <c r="D11" s="8" t="s">
        <v>18</v>
      </c>
      <c r="E11" s="8">
        <v>11</v>
      </c>
      <c r="F11" s="8">
        <v>44</v>
      </c>
      <c r="G11" s="9">
        <f t="shared" si="0"/>
        <v>38.9380530973451</v>
      </c>
      <c r="H11" s="10">
        <v>0.13</v>
      </c>
      <c r="I11" s="9">
        <f t="shared" si="1"/>
        <v>428.318584070796</v>
      </c>
      <c r="J11" s="9">
        <f t="shared" si="2"/>
        <v>55.6814159292035</v>
      </c>
      <c r="K11" s="8">
        <f t="shared" si="3"/>
        <v>484</v>
      </c>
      <c r="L11" s="5"/>
      <c r="N11" s="3">
        <f t="shared" si="4"/>
        <v>0</v>
      </c>
    </row>
    <row r="12" s="1" customFormat="1" spans="1:14">
      <c r="A12" s="8">
        <v>11</v>
      </c>
      <c r="B12" s="8" t="s">
        <v>30</v>
      </c>
      <c r="C12" s="8" t="s">
        <v>34</v>
      </c>
      <c r="D12" s="8" t="s">
        <v>18</v>
      </c>
      <c r="E12" s="8">
        <v>5</v>
      </c>
      <c r="F12" s="8">
        <v>72</v>
      </c>
      <c r="G12" s="9">
        <f t="shared" si="0"/>
        <v>63.716814159292</v>
      </c>
      <c r="H12" s="10">
        <v>0.13</v>
      </c>
      <c r="I12" s="9">
        <f t="shared" si="1"/>
        <v>318.58407079646</v>
      </c>
      <c r="J12" s="9">
        <f t="shared" si="2"/>
        <v>41.4159292035398</v>
      </c>
      <c r="K12" s="8">
        <f t="shared" si="3"/>
        <v>360</v>
      </c>
      <c r="L12" s="5"/>
      <c r="N12" s="3">
        <f t="shared" si="4"/>
        <v>0</v>
      </c>
    </row>
    <row r="13" s="1" customFormat="1" spans="1:14">
      <c r="A13" s="8">
        <v>12</v>
      </c>
      <c r="B13" s="8" t="s">
        <v>30</v>
      </c>
      <c r="C13" s="8" t="s">
        <v>35</v>
      </c>
      <c r="D13" s="8" t="s">
        <v>18</v>
      </c>
      <c r="E13" s="8">
        <v>48</v>
      </c>
      <c r="F13" s="8">
        <v>10</v>
      </c>
      <c r="G13" s="9">
        <f t="shared" si="0"/>
        <v>8.8495575221239</v>
      </c>
      <c r="H13" s="10">
        <v>0.13</v>
      </c>
      <c r="I13" s="9">
        <f t="shared" si="1"/>
        <v>424.778761061947</v>
      </c>
      <c r="J13" s="9">
        <f t="shared" si="2"/>
        <v>55.2212389380531</v>
      </c>
      <c r="K13" s="8">
        <f t="shared" si="3"/>
        <v>480</v>
      </c>
      <c r="L13" s="5"/>
      <c r="N13" s="3">
        <f t="shared" si="4"/>
        <v>0</v>
      </c>
    </row>
    <row r="14" s="1" customFormat="1" spans="1:14">
      <c r="A14" s="8">
        <v>13</v>
      </c>
      <c r="B14" s="8" t="s">
        <v>30</v>
      </c>
      <c r="C14" s="8" t="s">
        <v>36</v>
      </c>
      <c r="D14" s="8" t="s">
        <v>18</v>
      </c>
      <c r="E14" s="8">
        <v>61</v>
      </c>
      <c r="F14" s="8">
        <v>12</v>
      </c>
      <c r="G14" s="9">
        <f t="shared" si="0"/>
        <v>10.6194690265487</v>
      </c>
      <c r="H14" s="10">
        <v>0.13</v>
      </c>
      <c r="I14" s="9">
        <f t="shared" si="1"/>
        <v>647.787610619469</v>
      </c>
      <c r="J14" s="9">
        <f t="shared" si="2"/>
        <v>84.212389380531</v>
      </c>
      <c r="K14" s="8">
        <f t="shared" si="3"/>
        <v>732</v>
      </c>
      <c r="L14" s="5"/>
      <c r="N14" s="3">
        <f t="shared" si="4"/>
        <v>0</v>
      </c>
    </row>
    <row r="15" s="1" customFormat="1" spans="1:14">
      <c r="A15" s="8">
        <v>14</v>
      </c>
      <c r="B15" s="8" t="s">
        <v>30</v>
      </c>
      <c r="C15" s="8" t="s">
        <v>37</v>
      </c>
      <c r="D15" s="8" t="s">
        <v>18</v>
      </c>
      <c r="E15" s="8">
        <v>198</v>
      </c>
      <c r="F15" s="8">
        <v>5.5</v>
      </c>
      <c r="G15" s="9">
        <f t="shared" si="0"/>
        <v>4.86725663716814</v>
      </c>
      <c r="H15" s="10">
        <v>0.13</v>
      </c>
      <c r="I15" s="9">
        <f t="shared" si="1"/>
        <v>963.716814159292</v>
      </c>
      <c r="J15" s="9">
        <f t="shared" si="2"/>
        <v>125.283185840708</v>
      </c>
      <c r="K15" s="8">
        <f t="shared" si="3"/>
        <v>1089</v>
      </c>
      <c r="L15" s="5"/>
      <c r="N15" s="3">
        <f t="shared" si="4"/>
        <v>0</v>
      </c>
    </row>
    <row r="16" s="1" customFormat="1" spans="1:14">
      <c r="A16" s="8">
        <v>15</v>
      </c>
      <c r="B16" s="8" t="s">
        <v>38</v>
      </c>
      <c r="C16" s="8" t="s">
        <v>39</v>
      </c>
      <c r="D16" s="8" t="s">
        <v>18</v>
      </c>
      <c r="E16" s="8">
        <v>116</v>
      </c>
      <c r="F16" s="8">
        <v>15</v>
      </c>
      <c r="G16" s="9">
        <f t="shared" si="0"/>
        <v>13.2743362831858</v>
      </c>
      <c r="H16" s="10">
        <v>0.13</v>
      </c>
      <c r="I16" s="9">
        <f t="shared" si="1"/>
        <v>1539.82300884956</v>
      </c>
      <c r="J16" s="9">
        <f t="shared" si="2"/>
        <v>200.176991150443</v>
      </c>
      <c r="K16" s="8">
        <f t="shared" si="3"/>
        <v>1740</v>
      </c>
      <c r="L16" s="5"/>
      <c r="N16" s="3">
        <f t="shared" si="4"/>
        <v>0</v>
      </c>
    </row>
    <row r="17" s="1" customFormat="1" spans="1:14">
      <c r="A17" s="8">
        <v>16</v>
      </c>
      <c r="B17" s="8" t="s">
        <v>38</v>
      </c>
      <c r="C17" s="8" t="s">
        <v>40</v>
      </c>
      <c r="D17" s="8" t="s">
        <v>18</v>
      </c>
      <c r="E17" s="8">
        <v>16</v>
      </c>
      <c r="F17" s="8">
        <v>29</v>
      </c>
      <c r="G17" s="9">
        <f t="shared" si="0"/>
        <v>25.6637168141593</v>
      </c>
      <c r="H17" s="10">
        <v>0.13</v>
      </c>
      <c r="I17" s="9">
        <f t="shared" si="1"/>
        <v>410.619469026549</v>
      </c>
      <c r="J17" s="9">
        <f t="shared" si="2"/>
        <v>53.3805309734513</v>
      </c>
      <c r="K17" s="8">
        <f t="shared" si="3"/>
        <v>464</v>
      </c>
      <c r="L17" s="5"/>
      <c r="N17" s="3">
        <f t="shared" si="4"/>
        <v>0</v>
      </c>
    </row>
    <row r="18" s="1" customFormat="1" spans="1:14">
      <c r="A18" s="8">
        <v>17</v>
      </c>
      <c r="B18" s="8" t="s">
        <v>41</v>
      </c>
      <c r="C18" s="8" t="s">
        <v>42</v>
      </c>
      <c r="D18" s="8" t="s">
        <v>18</v>
      </c>
      <c r="E18" s="8">
        <v>390</v>
      </c>
      <c r="F18" s="8">
        <v>34</v>
      </c>
      <c r="G18" s="9">
        <f t="shared" si="0"/>
        <v>30.0884955752212</v>
      </c>
      <c r="H18" s="10">
        <v>0.13</v>
      </c>
      <c r="I18" s="9">
        <f t="shared" si="1"/>
        <v>11734.5132743363</v>
      </c>
      <c r="J18" s="9">
        <f t="shared" si="2"/>
        <v>1525.48672566372</v>
      </c>
      <c r="K18" s="8">
        <f t="shared" si="3"/>
        <v>13260</v>
      </c>
      <c r="L18" s="5"/>
      <c r="N18" s="3">
        <f t="shared" si="4"/>
        <v>0</v>
      </c>
    </row>
    <row r="19" s="1" customFormat="1" spans="1:14">
      <c r="A19" s="8">
        <v>18</v>
      </c>
      <c r="B19" s="8" t="s">
        <v>43</v>
      </c>
      <c r="C19" s="8" t="s">
        <v>39</v>
      </c>
      <c r="D19" s="8" t="s">
        <v>23</v>
      </c>
      <c r="E19" s="8">
        <v>46</v>
      </c>
      <c r="F19" s="8">
        <v>12</v>
      </c>
      <c r="G19" s="9">
        <f t="shared" si="0"/>
        <v>10.6194690265487</v>
      </c>
      <c r="H19" s="10">
        <v>0.13</v>
      </c>
      <c r="I19" s="9">
        <f t="shared" si="1"/>
        <v>488.495575221239</v>
      </c>
      <c r="J19" s="9">
        <f t="shared" si="2"/>
        <v>63.5044247787611</v>
      </c>
      <c r="K19" s="8">
        <f t="shared" si="3"/>
        <v>552</v>
      </c>
      <c r="L19" s="5"/>
      <c r="N19" s="3">
        <f t="shared" si="4"/>
        <v>0</v>
      </c>
    </row>
    <row r="20" s="1" customFormat="1" spans="1:14">
      <c r="A20" s="8">
        <v>19</v>
      </c>
      <c r="B20" s="8" t="s">
        <v>43</v>
      </c>
      <c r="C20" s="8" t="s">
        <v>40</v>
      </c>
      <c r="D20" s="8" t="s">
        <v>23</v>
      </c>
      <c r="E20" s="8">
        <v>4</v>
      </c>
      <c r="F20" s="8">
        <v>21</v>
      </c>
      <c r="G20" s="9">
        <f t="shared" si="0"/>
        <v>18.5840707964602</v>
      </c>
      <c r="H20" s="10">
        <v>0.13</v>
      </c>
      <c r="I20" s="9">
        <f t="shared" si="1"/>
        <v>74.3362831858407</v>
      </c>
      <c r="J20" s="9">
        <f t="shared" si="2"/>
        <v>9.66371681415929</v>
      </c>
      <c r="K20" s="8">
        <f t="shared" si="3"/>
        <v>84</v>
      </c>
      <c r="L20" s="5"/>
      <c r="N20" s="3">
        <f t="shared" si="4"/>
        <v>0</v>
      </c>
    </row>
    <row r="21" s="1" customFormat="1" spans="1:14">
      <c r="A21" s="8">
        <v>20</v>
      </c>
      <c r="B21" s="8" t="s">
        <v>44</v>
      </c>
      <c r="C21" s="8" t="s">
        <v>34</v>
      </c>
      <c r="D21" s="8" t="s">
        <v>23</v>
      </c>
      <c r="E21" s="8">
        <v>1</v>
      </c>
      <c r="F21" s="8">
        <v>487</v>
      </c>
      <c r="G21" s="9">
        <f t="shared" si="0"/>
        <v>430.973451327434</v>
      </c>
      <c r="H21" s="10">
        <v>0.13</v>
      </c>
      <c r="I21" s="9">
        <f t="shared" si="1"/>
        <v>430.973451327434</v>
      </c>
      <c r="J21" s="9">
        <f t="shared" si="2"/>
        <v>56.0265486725664</v>
      </c>
      <c r="K21" s="8">
        <f t="shared" si="3"/>
        <v>487</v>
      </c>
      <c r="L21" s="5"/>
      <c r="N21" s="3">
        <f t="shared" si="4"/>
        <v>0</v>
      </c>
    </row>
    <row r="22" s="1" customFormat="1" spans="1:14">
      <c r="A22" s="8">
        <v>21</v>
      </c>
      <c r="B22" s="8" t="s">
        <v>45</v>
      </c>
      <c r="C22" s="8" t="s">
        <v>37</v>
      </c>
      <c r="D22" s="8" t="s">
        <v>23</v>
      </c>
      <c r="E22" s="8">
        <v>9</v>
      </c>
      <c r="F22" s="8">
        <v>80</v>
      </c>
      <c r="G22" s="9">
        <f t="shared" si="0"/>
        <v>70.7964601769912</v>
      </c>
      <c r="H22" s="10">
        <v>0.13</v>
      </c>
      <c r="I22" s="9">
        <f t="shared" si="1"/>
        <v>637.16814159292</v>
      </c>
      <c r="J22" s="9">
        <f t="shared" si="2"/>
        <v>82.8318584070797</v>
      </c>
      <c r="K22" s="8">
        <f t="shared" si="3"/>
        <v>720</v>
      </c>
      <c r="L22" s="5"/>
      <c r="N22" s="3">
        <f t="shared" si="4"/>
        <v>0</v>
      </c>
    </row>
    <row r="23" s="1" customFormat="1" spans="1:14">
      <c r="A23" s="8">
        <v>22</v>
      </c>
      <c r="B23" s="8" t="s">
        <v>46</v>
      </c>
      <c r="C23" s="8" t="s">
        <v>33</v>
      </c>
      <c r="D23" s="8" t="s">
        <v>23</v>
      </c>
      <c r="E23" s="8">
        <v>2</v>
      </c>
      <c r="F23" s="8">
        <v>254</v>
      </c>
      <c r="G23" s="9">
        <f t="shared" si="0"/>
        <v>224.778761061947</v>
      </c>
      <c r="H23" s="10">
        <v>0.13</v>
      </c>
      <c r="I23" s="9">
        <f t="shared" si="1"/>
        <v>449.557522123894</v>
      </c>
      <c r="J23" s="9">
        <f t="shared" si="2"/>
        <v>58.4424778761062</v>
      </c>
      <c r="K23" s="8">
        <f t="shared" si="3"/>
        <v>508</v>
      </c>
      <c r="L23" s="5"/>
      <c r="N23" s="3">
        <f t="shared" si="4"/>
        <v>0</v>
      </c>
    </row>
    <row r="24" s="1" customFormat="1" ht="22.5" spans="1:14">
      <c r="A24" s="8">
        <v>23</v>
      </c>
      <c r="B24" s="8" t="s">
        <v>47</v>
      </c>
      <c r="C24" s="8" t="s">
        <v>34</v>
      </c>
      <c r="D24" s="8" t="s">
        <v>23</v>
      </c>
      <c r="E24" s="8">
        <v>1</v>
      </c>
      <c r="F24" s="8">
        <v>501</v>
      </c>
      <c r="G24" s="9">
        <f t="shared" si="0"/>
        <v>443.362831858407</v>
      </c>
      <c r="H24" s="10">
        <v>0.13</v>
      </c>
      <c r="I24" s="9">
        <f t="shared" si="1"/>
        <v>443.362831858407</v>
      </c>
      <c r="J24" s="9">
        <f t="shared" si="2"/>
        <v>57.6371681415929</v>
      </c>
      <c r="K24" s="8">
        <f t="shared" si="3"/>
        <v>501</v>
      </c>
      <c r="L24" s="5"/>
      <c r="N24" s="3">
        <f t="shared" si="4"/>
        <v>0</v>
      </c>
    </row>
    <row r="25" s="1" customFormat="1" spans="1:14">
      <c r="A25" s="8">
        <v>24</v>
      </c>
      <c r="B25" s="8" t="s">
        <v>48</v>
      </c>
      <c r="C25" s="8" t="s">
        <v>34</v>
      </c>
      <c r="D25" s="8" t="s">
        <v>23</v>
      </c>
      <c r="E25" s="8">
        <v>1</v>
      </c>
      <c r="F25" s="8">
        <v>501</v>
      </c>
      <c r="G25" s="9">
        <f t="shared" si="0"/>
        <v>443.362831858407</v>
      </c>
      <c r="H25" s="10">
        <v>0.13</v>
      </c>
      <c r="I25" s="9">
        <f t="shared" si="1"/>
        <v>443.362831858407</v>
      </c>
      <c r="J25" s="9">
        <f t="shared" si="2"/>
        <v>57.6371681415929</v>
      </c>
      <c r="K25" s="8">
        <f t="shared" si="3"/>
        <v>501</v>
      </c>
      <c r="L25" s="5"/>
      <c r="N25" s="3">
        <f t="shared" si="4"/>
        <v>0</v>
      </c>
    </row>
    <row r="26" s="1" customFormat="1" spans="1:14">
      <c r="A26" s="8">
        <v>25</v>
      </c>
      <c r="B26" s="8" t="s">
        <v>46</v>
      </c>
      <c r="C26" s="8" t="s">
        <v>34</v>
      </c>
      <c r="D26" s="8" t="s">
        <v>23</v>
      </c>
      <c r="E26" s="8">
        <v>1</v>
      </c>
      <c r="F26" s="8">
        <v>340</v>
      </c>
      <c r="G26" s="9">
        <f t="shared" si="0"/>
        <v>300.884955752212</v>
      </c>
      <c r="H26" s="10">
        <v>0.13</v>
      </c>
      <c r="I26" s="9">
        <f t="shared" si="1"/>
        <v>300.884955752212</v>
      </c>
      <c r="J26" s="9">
        <f t="shared" si="2"/>
        <v>39.1150442477876</v>
      </c>
      <c r="K26" s="8">
        <f t="shared" si="3"/>
        <v>340</v>
      </c>
      <c r="L26" s="5"/>
      <c r="N26" s="3">
        <f t="shared" si="4"/>
        <v>0</v>
      </c>
    </row>
    <row r="27" s="1" customFormat="1" spans="1:14">
      <c r="A27" s="8">
        <v>26</v>
      </c>
      <c r="B27" s="8" t="s">
        <v>49</v>
      </c>
      <c r="C27" s="8" t="s">
        <v>34</v>
      </c>
      <c r="D27" s="8" t="s">
        <v>23</v>
      </c>
      <c r="E27" s="8">
        <v>1</v>
      </c>
      <c r="F27" s="8">
        <v>192</v>
      </c>
      <c r="G27" s="9">
        <f t="shared" si="0"/>
        <v>169.911504424779</v>
      </c>
      <c r="H27" s="10">
        <v>0.13</v>
      </c>
      <c r="I27" s="9">
        <f t="shared" si="1"/>
        <v>169.911504424779</v>
      </c>
      <c r="J27" s="9">
        <f t="shared" si="2"/>
        <v>22.0884955752212</v>
      </c>
      <c r="K27" s="8">
        <f t="shared" si="3"/>
        <v>192</v>
      </c>
      <c r="L27" s="5"/>
      <c r="N27" s="3">
        <f t="shared" si="4"/>
        <v>0</v>
      </c>
    </row>
    <row r="28" s="1" customFormat="1" spans="1:14">
      <c r="A28" s="8">
        <v>27</v>
      </c>
      <c r="B28" s="8" t="s">
        <v>50</v>
      </c>
      <c r="C28" s="8" t="s">
        <v>32</v>
      </c>
      <c r="D28" s="8" t="s">
        <v>23</v>
      </c>
      <c r="E28" s="8">
        <v>11</v>
      </c>
      <c r="F28" s="8">
        <v>120</v>
      </c>
      <c r="G28" s="9">
        <f t="shared" si="0"/>
        <v>106.194690265487</v>
      </c>
      <c r="H28" s="10">
        <v>0.13</v>
      </c>
      <c r="I28" s="9">
        <f t="shared" si="1"/>
        <v>1168.14159292035</v>
      </c>
      <c r="J28" s="9">
        <f t="shared" si="2"/>
        <v>151.858407079646</v>
      </c>
      <c r="K28" s="8">
        <f t="shared" si="3"/>
        <v>1320</v>
      </c>
      <c r="L28" s="5"/>
      <c r="N28" s="3">
        <f t="shared" si="4"/>
        <v>0</v>
      </c>
    </row>
    <row r="29" s="1" customFormat="1" spans="1:14">
      <c r="A29" s="8">
        <v>28</v>
      </c>
      <c r="B29" s="8" t="s">
        <v>51</v>
      </c>
      <c r="C29" s="8" t="s">
        <v>52</v>
      </c>
      <c r="D29" s="8" t="s">
        <v>53</v>
      </c>
      <c r="E29" s="8">
        <v>32</v>
      </c>
      <c r="F29" s="8">
        <v>565</v>
      </c>
      <c r="G29" s="9">
        <f t="shared" si="0"/>
        <v>500</v>
      </c>
      <c r="H29" s="10">
        <v>0.13</v>
      </c>
      <c r="I29" s="9">
        <f t="shared" si="1"/>
        <v>16000</v>
      </c>
      <c r="J29" s="9">
        <f t="shared" si="2"/>
        <v>2080</v>
      </c>
      <c r="K29" s="8">
        <f t="shared" si="3"/>
        <v>18080</v>
      </c>
      <c r="L29" s="5"/>
      <c r="N29" s="3">
        <f t="shared" si="4"/>
        <v>0</v>
      </c>
    </row>
    <row r="30" s="1" customFormat="1" spans="1:14">
      <c r="A30" s="8">
        <v>29</v>
      </c>
      <c r="B30" s="8" t="s">
        <v>54</v>
      </c>
      <c r="C30" s="8" t="s">
        <v>42</v>
      </c>
      <c r="D30" s="8" t="s">
        <v>18</v>
      </c>
      <c r="E30" s="8">
        <v>143</v>
      </c>
      <c r="F30" s="8">
        <v>34</v>
      </c>
      <c r="G30" s="9">
        <f t="shared" si="0"/>
        <v>30.0884955752212</v>
      </c>
      <c r="H30" s="10">
        <v>0.13</v>
      </c>
      <c r="I30" s="9">
        <f t="shared" si="1"/>
        <v>4302.65486725664</v>
      </c>
      <c r="J30" s="9">
        <f t="shared" si="2"/>
        <v>559.345132743363</v>
      </c>
      <c r="K30" s="8">
        <f t="shared" si="3"/>
        <v>4862</v>
      </c>
      <c r="L30" s="5"/>
      <c r="N30" s="3">
        <f t="shared" si="4"/>
        <v>0</v>
      </c>
    </row>
    <row r="31" s="1" customFormat="1" spans="1:14">
      <c r="A31" s="8">
        <v>30</v>
      </c>
      <c r="B31" s="8" t="s">
        <v>54</v>
      </c>
      <c r="C31" s="8" t="s">
        <v>55</v>
      </c>
      <c r="D31" s="8" t="s">
        <v>18</v>
      </c>
      <c r="E31" s="8">
        <v>14</v>
      </c>
      <c r="F31" s="8">
        <v>62</v>
      </c>
      <c r="G31" s="9">
        <f t="shared" si="0"/>
        <v>54.8672566371681</v>
      </c>
      <c r="H31" s="10">
        <v>0.13</v>
      </c>
      <c r="I31" s="9">
        <f t="shared" si="1"/>
        <v>768.141592920354</v>
      </c>
      <c r="J31" s="9">
        <f t="shared" si="2"/>
        <v>99.858407079646</v>
      </c>
      <c r="K31" s="8">
        <f t="shared" si="3"/>
        <v>868</v>
      </c>
      <c r="L31" s="5"/>
      <c r="N31" s="3">
        <f t="shared" si="4"/>
        <v>0</v>
      </c>
    </row>
    <row r="32" s="1" customFormat="1" spans="1:14">
      <c r="A32" s="8">
        <v>31</v>
      </c>
      <c r="B32" s="8" t="s">
        <v>56</v>
      </c>
      <c r="C32" s="8" t="s">
        <v>57</v>
      </c>
      <c r="D32" s="8" t="s">
        <v>18</v>
      </c>
      <c r="E32" s="8">
        <v>143</v>
      </c>
      <c r="F32" s="8">
        <v>28</v>
      </c>
      <c r="G32" s="9">
        <f t="shared" si="0"/>
        <v>24.7787610619469</v>
      </c>
      <c r="H32" s="10">
        <v>0.13</v>
      </c>
      <c r="I32" s="9">
        <f t="shared" si="1"/>
        <v>3543.36283185841</v>
      </c>
      <c r="J32" s="9">
        <f t="shared" si="2"/>
        <v>460.637168141593</v>
      </c>
      <c r="K32" s="8">
        <f t="shared" si="3"/>
        <v>4004</v>
      </c>
      <c r="L32" s="5"/>
      <c r="N32" s="3">
        <f t="shared" si="4"/>
        <v>0</v>
      </c>
    </row>
    <row r="33" s="1" customFormat="1" ht="22.5" spans="1:14">
      <c r="A33" s="8">
        <v>32</v>
      </c>
      <c r="B33" s="11" t="s">
        <v>58</v>
      </c>
      <c r="C33" s="11" t="s">
        <v>59</v>
      </c>
      <c r="D33" s="8" t="s">
        <v>60</v>
      </c>
      <c r="E33" s="8">
        <v>3</v>
      </c>
      <c r="F33" s="8">
        <v>436</v>
      </c>
      <c r="G33" s="9">
        <f t="shared" si="0"/>
        <v>385.840707964602</v>
      </c>
      <c r="H33" s="10">
        <v>0.13</v>
      </c>
      <c r="I33" s="9">
        <f t="shared" si="1"/>
        <v>1157.52212389381</v>
      </c>
      <c r="J33" s="9">
        <f t="shared" si="2"/>
        <v>150.477876106195</v>
      </c>
      <c r="K33" s="8">
        <f t="shared" si="3"/>
        <v>1308</v>
      </c>
      <c r="L33" s="5"/>
      <c r="N33" s="3">
        <f t="shared" si="4"/>
        <v>0</v>
      </c>
    </row>
    <row r="34" s="1" customFormat="1" spans="1:14">
      <c r="A34" s="8">
        <v>33</v>
      </c>
      <c r="B34" s="11" t="s">
        <v>61</v>
      </c>
      <c r="C34" s="11" t="s">
        <v>62</v>
      </c>
      <c r="D34" s="8" t="s">
        <v>60</v>
      </c>
      <c r="E34" s="8">
        <v>199</v>
      </c>
      <c r="F34" s="8">
        <v>436</v>
      </c>
      <c r="G34" s="9">
        <f t="shared" si="0"/>
        <v>385.840707964602</v>
      </c>
      <c r="H34" s="10">
        <v>0.13</v>
      </c>
      <c r="I34" s="9">
        <f t="shared" si="1"/>
        <v>76782.3008849558</v>
      </c>
      <c r="J34" s="9">
        <f t="shared" si="2"/>
        <v>9981.69911504425</v>
      </c>
      <c r="K34" s="8">
        <f t="shared" si="3"/>
        <v>86764</v>
      </c>
      <c r="L34" s="5"/>
      <c r="N34" s="3">
        <f t="shared" si="4"/>
        <v>0</v>
      </c>
    </row>
    <row r="35" s="1" customFormat="1" ht="22.5" spans="1:14">
      <c r="A35" s="8">
        <v>34</v>
      </c>
      <c r="B35" s="11" t="s">
        <v>63</v>
      </c>
      <c r="C35" s="11" t="s">
        <v>64</v>
      </c>
      <c r="D35" s="8" t="s">
        <v>60</v>
      </c>
      <c r="E35" s="8">
        <v>0.88</v>
      </c>
      <c r="F35" s="8">
        <v>436</v>
      </c>
      <c r="G35" s="9">
        <f t="shared" si="0"/>
        <v>385.840707964602</v>
      </c>
      <c r="H35" s="10">
        <v>0.13</v>
      </c>
      <c r="I35" s="9">
        <f t="shared" si="1"/>
        <v>339.53982300885</v>
      </c>
      <c r="J35" s="9">
        <f t="shared" si="2"/>
        <v>44.1401769911504</v>
      </c>
      <c r="K35" s="8">
        <f t="shared" si="3"/>
        <v>383.68</v>
      </c>
      <c r="L35" s="5"/>
      <c r="N35" s="3">
        <f t="shared" si="4"/>
        <v>0</v>
      </c>
    </row>
    <row r="36" s="1" customFormat="1" spans="1:14">
      <c r="A36" s="8">
        <v>35</v>
      </c>
      <c r="B36" s="11" t="s">
        <v>65</v>
      </c>
      <c r="C36" s="11" t="s">
        <v>66</v>
      </c>
      <c r="D36" s="8" t="s">
        <v>26</v>
      </c>
      <c r="E36" s="8">
        <v>11</v>
      </c>
      <c r="F36" s="8">
        <v>418</v>
      </c>
      <c r="G36" s="9">
        <f t="shared" si="0"/>
        <v>369.911504424779</v>
      </c>
      <c r="H36" s="10">
        <v>0.13</v>
      </c>
      <c r="I36" s="9">
        <f t="shared" si="1"/>
        <v>4069.02654867257</v>
      </c>
      <c r="J36" s="9">
        <f t="shared" si="2"/>
        <v>528.973451327434</v>
      </c>
      <c r="K36" s="8">
        <f t="shared" si="3"/>
        <v>4598</v>
      </c>
      <c r="L36" s="5"/>
      <c r="N36" s="3">
        <f t="shared" si="4"/>
        <v>0</v>
      </c>
    </row>
    <row r="37" s="1" customFormat="1" spans="1:14">
      <c r="A37" s="12" t="s">
        <v>67</v>
      </c>
      <c r="B37" s="13"/>
      <c r="C37" s="13"/>
      <c r="D37" s="13"/>
      <c r="E37" s="13"/>
      <c r="F37" s="13"/>
      <c r="G37" s="13"/>
      <c r="H37" s="14"/>
      <c r="I37" s="15">
        <f>SUM(I2:I36)</f>
        <v>207703.256637168</v>
      </c>
      <c r="J37" s="15">
        <f>SUM(J2:J36)</f>
        <v>27001.4233628319</v>
      </c>
      <c r="K37" s="5">
        <f>SUM(K2:K36)</f>
        <v>234704.68</v>
      </c>
      <c r="L37" s="5"/>
      <c r="N37" s="3"/>
    </row>
  </sheetData>
  <mergeCells count="1"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SW_</dc:creator>
  <cp:lastModifiedBy>YL</cp:lastModifiedBy>
  <dcterms:created xsi:type="dcterms:W3CDTF">2025-05-08T02:00:00Z</dcterms:created>
  <dcterms:modified xsi:type="dcterms:W3CDTF">2025-09-04T08:21:36Z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58B2C64C6B294DA999229A41A200446F_13</vt:lpwstr>
  </property>
  <property fmtid="{D5CDD505-2E9C-101B-9397-08002B2CF9AE}" pid="3" name="KSOProductBuildVer">
    <vt:lpwstr>2052-12.1.0.22529</vt:lpwstr>
  </property>
</Properties>
</file>